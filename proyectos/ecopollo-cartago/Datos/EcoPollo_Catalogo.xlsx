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álogo" sheetId="1" state="visible" r:id="rId3"/>
    <sheet name="Comparativ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<sst xmlns="http://schemas.openxmlformats.org/spreadsheetml/2006/main" count="79" uniqueCount="69">
  <si>
    <t xml:space="preserve">ECOPOLLO — CATÁLOGO DE PRODUCTOS Y PRECIOS</t>
  </si>
  <si>
    <t xml:space="preserve">Entrega de pollo a domicilio  |  Cartago, Costa Rica  |  Vigencia: 2026</t>
  </si>
  <si>
    <t xml:space="preserve">Código</t>
  </si>
  <si>
    <t xml:space="preserve">Producto</t>
  </si>
  <si>
    <t xml:space="preserve">Descripción</t>
  </si>
  <si>
    <t xml:space="preserve">Unidad</t>
  </si>
  <si>
    <t xml:space="preserve">Cliente Final
(Hogar)</t>
  </si>
  <si>
    <t xml:space="preserve">Sodas y
Rest. Pequeños</t>
  </si>
  <si>
    <t xml:space="preserve">Restaurantes
Medianos</t>
  </si>
  <si>
    <t xml:space="preserve">Hoteles y
Catering</t>
  </si>
  <si>
    <t xml:space="preserve">Mayorista /
Revendedor</t>
  </si>
  <si>
    <t xml:space="preserve">EP-001</t>
  </si>
  <si>
    <t xml:space="preserve">Pollo Entero Fresco</t>
  </si>
  <si>
    <t xml:space="preserve">Pollo entero limpio, listo para cocinar</t>
  </si>
  <si>
    <t xml:space="preserve">kg</t>
  </si>
  <si>
    <t xml:space="preserve">EP-002</t>
  </si>
  <si>
    <t xml:space="preserve">Pechuga sin Hueso</t>
  </si>
  <si>
    <t xml:space="preserve">Filete de pechuga, sin piel ni hueso</t>
  </si>
  <si>
    <t xml:space="preserve">EP-003</t>
  </si>
  <si>
    <t xml:space="preserve">Pechuga con Hueso</t>
  </si>
  <si>
    <t xml:space="preserve">Pechuga entera con hueso y piel</t>
  </si>
  <si>
    <t xml:space="preserve">EP-004</t>
  </si>
  <si>
    <t xml:space="preserve">Muslos</t>
  </si>
  <si>
    <t xml:space="preserve">Muslo de pollo con piel y hueso</t>
  </si>
  <si>
    <t xml:space="preserve">EP-005</t>
  </si>
  <si>
    <t xml:space="preserve">Encuentros (Cuartos)</t>
  </si>
  <si>
    <t xml:space="preserve">Cuarto trasero: muslo + encuentro</t>
  </si>
  <si>
    <t xml:space="preserve">EP-006</t>
  </si>
  <si>
    <t xml:space="preserve">Alas</t>
  </si>
  <si>
    <t xml:space="preserve">Alitas frescas, listas para freír o asar</t>
  </si>
  <si>
    <t xml:space="preserve">EP-007</t>
  </si>
  <si>
    <t xml:space="preserve">Mollejas</t>
  </si>
  <si>
    <t xml:space="preserve">Mollejas limpias y listas</t>
  </si>
  <si>
    <t xml:space="preserve">EP-008</t>
  </si>
  <si>
    <t xml:space="preserve">Hígados de Pollo</t>
  </si>
  <si>
    <t xml:space="preserve">Hígados frescos seleccionados</t>
  </si>
  <si>
    <t xml:space="preserve">EP-009</t>
  </si>
  <si>
    <t xml:space="preserve">Pollo en Trozos Mixto</t>
  </si>
  <si>
    <t xml:space="preserve">Combo: pechuga, muslo, encuentro, ala</t>
  </si>
  <si>
    <t xml:space="preserve">EP-010</t>
  </si>
  <si>
    <t xml:space="preserve">Pollo Marinado BBQ</t>
  </si>
  <si>
    <t xml:space="preserve">Trozos marinados en salsa BBQ casera</t>
  </si>
  <si>
    <t xml:space="preserve">MULTIPLICADORES POR SEGMENTO (editable — modifica para ajustar todos los precios)</t>
  </si>
  <si>
    <t xml:space="preserve">Multiplicador →</t>
  </si>
  <si>
    <t xml:space="preserve">% descuento →</t>
  </si>
  <si>
    <t xml:space="preserve">DESCRIPCIÓN DE SEGMENTOS</t>
  </si>
  <si>
    <t xml:space="preserve">Cliente Final (Hogar)</t>
  </si>
  <si>
    <t xml:space="preserve">Compra puntual para consumo doméstico. Precio retail completo. Volumen mínimo, entrega regular.</t>
  </si>
  <si>
    <t xml:space="preserve">Sodas y Restaurantes Pequeños</t>
  </si>
  <si>
    <t xml:space="preserve">Negocios con consumo semanal moderado. Pedido típico: 10–30 kg/semana. Descuento del 12%.</t>
  </si>
  <si>
    <t xml:space="preserve">Restaurantes Medianos</t>
  </si>
  <si>
    <t xml:space="preserve">Cadenas locales o restaurantes con alta rotación. Pedido típico: 50–150 kg/semana. Descuento del 20%.</t>
  </si>
  <si>
    <t xml:space="preserve">Hoteles y Catering</t>
  </si>
  <si>
    <t xml:space="preserve">Volúmenes altos con entregas programadas. Contrato mensual. Descuento del 25%.</t>
  </si>
  <si>
    <t xml:space="preserve">Mayorista / Revendedor</t>
  </si>
  <si>
    <t xml:space="preserve">Compra para revender. Volumen muy alto, entrega en bodega. Descuento del 32%.</t>
  </si>
  <si>
    <t xml:space="preserve">NOTAS</t>
  </si>
  <si>
    <t xml:space="preserve">• Los precios están expresados en colones costarricenses (₡) por kilogramo.</t>
  </si>
  <si>
    <t xml:space="preserve">• Precios sujetos a cambio según fluctuación del mercado avícola. Vigencia revisada cada trimestre.</t>
  </si>
  <si>
    <t xml:space="preserve">• Pedido mínimo para entrega gratis dentro de Cartago: ₡15.000 (Cliente Final). Mayoristas: condiciones especiales.</t>
  </si>
  <si>
    <t xml:space="preserve">• Para modificar todos los precios a la vez: cambia los valores azules en la columna E (Cliente Final) y los multiplicadores amarillos en la fila 18.</t>
  </si>
  <si>
    <t xml:space="preserve">• Texto en azul = valor editable (input). Texto en negro = fórmula calculada automáticamente.</t>
  </si>
  <si>
    <t xml:space="preserve">COMPARATIVO RÁPIDO DE PRECIOS POR SEGMENTO</t>
  </si>
  <si>
    <t xml:space="preserve">Cliente Final</t>
  </si>
  <si>
    <t xml:space="preserve">Sodas/Rest. Peq.</t>
  </si>
  <si>
    <t xml:space="preserve">Rest. Medianos</t>
  </si>
  <si>
    <t xml:space="preserve">Hoteles/Catering</t>
  </si>
  <si>
    <t xml:space="preserve">Mayorista</t>
  </si>
  <si>
    <t xml:space="preserve">PROMEDIO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</si>
</sst>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₡#,##0"/>
    <numFmt numFmtId="166" formatCode="0.00"/>
    <numFmt numFmtId="167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42424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  <font>
      <i val="true"/>
      <sz val="9"/>
      <color rgb="FF757575"/>
      <name val="Arial"/>
      <family val="0"/>
      <charset val="1"/>
    </font>
    <font>
      <sz val="9"/>
      <color rgb="FF424242"/>
      <name val="Arial"/>
      <family val="0"/>
      <charset val="1"/>
    </font>
    <font>
      <b val="true"/>
      <sz val="16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E7D32"/>
        <bgColor rgb="FF008000"/>
      </patternFill>
    </fill>
    <fill>
      <patternFill patternType="solid">
        <fgColor rgb="FFC8E6C9"/>
        <bgColor rgb="FFCCFFFF"/>
      </patternFill>
    </fill>
    <fill>
      <patternFill patternType="solid">
        <fgColor rgb="FF424242"/>
        <bgColor rgb="FF333300"/>
      </patternFill>
    </fill>
    <fill>
      <patternFill patternType="solid">
        <fgColor rgb="FFF5F5F5"/>
        <bgColor rgb="FFFFFFFF"/>
      </patternFill>
    </fill>
    <fill>
      <patternFill patternType="solid">
        <fgColor rgb="FFFFF59D"/>
        <bgColor rgb="FFF5F5F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 diagonalUp="false" diagonalDown="false">
      <left style="thin">
        <color rgb="FFBDBDBD"/>
      </left>
      <right/>
      <top style="thin">
        <color rgb="FFBDBDBD"/>
      </top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BDBD"/>
      <rgbColor rgb="FF757575"/>
      <rgbColor rgb="FF9999FF"/>
      <rgbColor rgb="FF993366"/>
      <rgbColor rgb="FFF5F5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59D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4242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32"/>
    <col collapsed="false" customWidth="true" hidden="false" outlineLevel="0" max="4" min="4" style="0" width="8"/>
    <col collapsed="false" customWidth="true" hidden="false" outlineLevel="0" max="9" min="5" style="0" width="14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7.5" hidden="false" customHeight="true" outlineLevel="0" collapsed="false"/>
    <row r="4" customFormat="false" ht="39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5" t="s">
        <v>12</v>
      </c>
      <c r="C5" s="6" t="s">
        <v>13</v>
      </c>
      <c r="D5" s="4" t="s">
        <v>14</v>
      </c>
      <c r="E5" s="7" t="n">
        <v>3500</v>
      </c>
      <c r="F5" s="8" t="n">
        <f aca="false">$E5*$B$18</f>
        <v>3080</v>
      </c>
      <c r="G5" s="8" t="n">
        <f aca="false">$E5*$C$18</f>
        <v>2800</v>
      </c>
      <c r="H5" s="8" t="n">
        <f aca="false">$E5*$D$18</f>
        <v>2625</v>
      </c>
      <c r="I5" s="8" t="n">
        <f aca="false">$E5*$E$18</f>
        <v>2380</v>
      </c>
    </row>
    <row r="6" customFormat="false" ht="15" hidden="false" customHeight="false" outlineLevel="0" collapsed="false">
      <c r="A6" s="9" t="s">
        <v>15</v>
      </c>
      <c r="B6" s="10" t="s">
        <v>16</v>
      </c>
      <c r="C6" s="11" t="s">
        <v>17</v>
      </c>
      <c r="D6" s="9" t="s">
        <v>14</v>
      </c>
      <c r="E6" s="12" t="n">
        <v>5200</v>
      </c>
      <c r="F6" s="13" t="n">
        <f aca="false">$E6*$B$18</f>
        <v>4576</v>
      </c>
      <c r="G6" s="13" t="n">
        <f aca="false">$E6*$C$18</f>
        <v>4160</v>
      </c>
      <c r="H6" s="13" t="n">
        <f aca="false">$E6*$D$18</f>
        <v>3900</v>
      </c>
      <c r="I6" s="13" t="n">
        <f aca="false">$E6*$E$18</f>
        <v>3536</v>
      </c>
    </row>
    <row r="7" customFormat="false" ht="15" hidden="false" customHeight="false" outlineLevel="0" collapsed="false">
      <c r="A7" s="4" t="s">
        <v>18</v>
      </c>
      <c r="B7" s="5" t="s">
        <v>19</v>
      </c>
      <c r="C7" s="6" t="s">
        <v>20</v>
      </c>
      <c r="D7" s="4" t="s">
        <v>14</v>
      </c>
      <c r="E7" s="7" t="n">
        <v>4400</v>
      </c>
      <c r="F7" s="8" t="n">
        <f aca="false">$E7*$B$18</f>
        <v>3872</v>
      </c>
      <c r="G7" s="8" t="n">
        <f aca="false">$E7*$C$18</f>
        <v>3520</v>
      </c>
      <c r="H7" s="8" t="n">
        <f aca="false">$E7*$D$18</f>
        <v>3300</v>
      </c>
      <c r="I7" s="8" t="n">
        <f aca="false">$E7*$E$18</f>
        <v>2992</v>
      </c>
    </row>
    <row r="8" customFormat="false" ht="15" hidden="false" customHeight="false" outlineLevel="0" collapsed="false">
      <c r="A8" s="9" t="s">
        <v>21</v>
      </c>
      <c r="B8" s="10" t="s">
        <v>22</v>
      </c>
      <c r="C8" s="11" t="s">
        <v>23</v>
      </c>
      <c r="D8" s="9" t="s">
        <v>14</v>
      </c>
      <c r="E8" s="12" t="n">
        <v>3800</v>
      </c>
      <c r="F8" s="13" t="n">
        <f aca="false">$E8*$B$18</f>
        <v>3344</v>
      </c>
      <c r="G8" s="13" t="n">
        <f aca="false">$E8*$C$18</f>
        <v>3040</v>
      </c>
      <c r="H8" s="13" t="n">
        <f aca="false">$E8*$D$18</f>
        <v>2850</v>
      </c>
      <c r="I8" s="13" t="n">
        <f aca="false">$E8*$E$18</f>
        <v>2584</v>
      </c>
    </row>
    <row r="9" customFormat="false" ht="15" hidden="false" customHeight="false" outlineLevel="0" collapsed="false">
      <c r="A9" s="4" t="s">
        <v>24</v>
      </c>
      <c r="B9" s="5" t="s">
        <v>25</v>
      </c>
      <c r="C9" s="6" t="s">
        <v>26</v>
      </c>
      <c r="D9" s="4" t="s">
        <v>14</v>
      </c>
      <c r="E9" s="7" t="n">
        <v>3600</v>
      </c>
      <c r="F9" s="8" t="n">
        <f aca="false">$E9*$B$18</f>
        <v>3168</v>
      </c>
      <c r="G9" s="8" t="n">
        <f aca="false">$E9*$C$18</f>
        <v>2880</v>
      </c>
      <c r="H9" s="8" t="n">
        <f aca="false">$E9*$D$18</f>
        <v>2700</v>
      </c>
      <c r="I9" s="8" t="n">
        <f aca="false">$E9*$E$18</f>
        <v>2448</v>
      </c>
    </row>
    <row r="10" customFormat="false" ht="15" hidden="false" customHeight="false" outlineLevel="0" collapsed="false">
      <c r="A10" s="9" t="s">
        <v>27</v>
      </c>
      <c r="B10" s="10" t="s">
        <v>28</v>
      </c>
      <c r="C10" s="11" t="s">
        <v>29</v>
      </c>
      <c r="D10" s="9" t="s">
        <v>14</v>
      </c>
      <c r="E10" s="12" t="n">
        <v>3900</v>
      </c>
      <c r="F10" s="13" t="n">
        <f aca="false">$E10*$B$18</f>
        <v>3432</v>
      </c>
      <c r="G10" s="13" t="n">
        <f aca="false">$E10*$C$18</f>
        <v>3120</v>
      </c>
      <c r="H10" s="13" t="n">
        <f aca="false">$E10*$D$18</f>
        <v>2925</v>
      </c>
      <c r="I10" s="13" t="n">
        <f aca="false">$E10*$E$18</f>
        <v>2652</v>
      </c>
    </row>
    <row r="11" customFormat="false" ht="15" hidden="false" customHeight="false" outlineLevel="0" collapsed="false">
      <c r="A11" s="4" t="s">
        <v>30</v>
      </c>
      <c r="B11" s="5" t="s">
        <v>31</v>
      </c>
      <c r="C11" s="6" t="s">
        <v>32</v>
      </c>
      <c r="D11" s="4" t="s">
        <v>14</v>
      </c>
      <c r="E11" s="7" t="n">
        <v>3200</v>
      </c>
      <c r="F11" s="8" t="n">
        <f aca="false">$E11*$B$18</f>
        <v>2816</v>
      </c>
      <c r="G11" s="8" t="n">
        <f aca="false">$E11*$C$18</f>
        <v>2560</v>
      </c>
      <c r="H11" s="8" t="n">
        <f aca="false">$E11*$D$18</f>
        <v>2400</v>
      </c>
      <c r="I11" s="8" t="n">
        <f aca="false">$E11*$E$18</f>
        <v>2176</v>
      </c>
    </row>
    <row r="12" customFormat="false" ht="15" hidden="false" customHeight="false" outlineLevel="0" collapsed="false">
      <c r="A12" s="9" t="s">
        <v>33</v>
      </c>
      <c r="B12" s="10" t="s">
        <v>34</v>
      </c>
      <c r="C12" s="11" t="s">
        <v>35</v>
      </c>
      <c r="D12" s="9" t="s">
        <v>14</v>
      </c>
      <c r="E12" s="12" t="n">
        <v>2400</v>
      </c>
      <c r="F12" s="13" t="n">
        <f aca="false">$E12*$B$18</f>
        <v>2112</v>
      </c>
      <c r="G12" s="13" t="n">
        <f aca="false">$E12*$C$18</f>
        <v>1920</v>
      </c>
      <c r="H12" s="13" t="n">
        <f aca="false">$E12*$D$18</f>
        <v>1800</v>
      </c>
      <c r="I12" s="13" t="n">
        <f aca="false">$E12*$E$18</f>
        <v>1632</v>
      </c>
    </row>
    <row r="13" customFormat="false" ht="23.85" hidden="false" customHeight="false" outlineLevel="0" collapsed="false">
      <c r="A13" s="4" t="s">
        <v>36</v>
      </c>
      <c r="B13" s="5" t="s">
        <v>37</v>
      </c>
      <c r="C13" s="6" t="s">
        <v>38</v>
      </c>
      <c r="D13" s="4" t="s">
        <v>14</v>
      </c>
      <c r="E13" s="7" t="n">
        <v>3700</v>
      </c>
      <c r="F13" s="8" t="n">
        <f aca="false">$E13*$B$18</f>
        <v>3256</v>
      </c>
      <c r="G13" s="8" t="n">
        <f aca="false">$E13*$C$18</f>
        <v>2960</v>
      </c>
      <c r="H13" s="8" t="n">
        <f aca="false">$E13*$D$18</f>
        <v>2775</v>
      </c>
      <c r="I13" s="8" t="n">
        <f aca="false">$E13*$E$18</f>
        <v>2516</v>
      </c>
    </row>
    <row r="14" customFormat="false" ht="23.85" hidden="false" customHeight="false" outlineLevel="0" collapsed="false">
      <c r="A14" s="9" t="s">
        <v>39</v>
      </c>
      <c r="B14" s="10" t="s">
        <v>40</v>
      </c>
      <c r="C14" s="11" t="s">
        <v>41</v>
      </c>
      <c r="D14" s="9" t="s">
        <v>14</v>
      </c>
      <c r="E14" s="12" t="n">
        <v>4500</v>
      </c>
      <c r="F14" s="13" t="n">
        <f aca="false">$E14*$B$18</f>
        <v>3960</v>
      </c>
      <c r="G14" s="13" t="n">
        <f aca="false">$E14*$C$18</f>
        <v>3600</v>
      </c>
      <c r="H14" s="13" t="n">
        <f aca="false">$E14*$D$18</f>
        <v>3375</v>
      </c>
      <c r="I14" s="13" t="n">
        <f aca="false">$E14*$E$18</f>
        <v>3060</v>
      </c>
    </row>
    <row r="15" customFormat="false" ht="7.5" hidden="false" customHeight="true" outlineLevel="0" collapsed="false"/>
    <row r="17" customFormat="false" ht="21.75" hidden="false" customHeight="true" outlineLevel="0" collapsed="false">
      <c r="A17" s="14" t="s">
        <v>42</v>
      </c>
      <c r="B17" s="14"/>
      <c r="C17" s="14"/>
      <c r="D17" s="14"/>
      <c r="E17" s="14"/>
      <c r="F17" s="14"/>
      <c r="G17" s="14"/>
      <c r="H17" s="14"/>
      <c r="I17" s="14"/>
    </row>
    <row r="18" customFormat="false" ht="15" hidden="false" customHeight="false" outlineLevel="0" collapsed="false">
      <c r="A18" s="15" t="s">
        <v>43</v>
      </c>
      <c r="B18" s="16" t="n">
        <v>0.88</v>
      </c>
      <c r="C18" s="16" t="n">
        <v>0.8</v>
      </c>
      <c r="D18" s="16" t="n">
        <v>0.75</v>
      </c>
      <c r="E18" s="16" t="n">
        <v>0.68</v>
      </c>
    </row>
    <row r="19" customFormat="false" ht="15" hidden="false" customHeight="false" outlineLevel="0" collapsed="false">
      <c r="A19" s="17" t="s">
        <v>44</v>
      </c>
      <c r="B19" s="18" t="n">
        <f aca="false">1-B18</f>
        <v>0.12</v>
      </c>
      <c r="C19" s="18" t="n">
        <f aca="false">1-C18</f>
        <v>0.2</v>
      </c>
      <c r="D19" s="18" t="n">
        <f aca="false">1-D18</f>
        <v>0.25</v>
      </c>
      <c r="E19" s="18" t="n">
        <f aca="false">1-E18</f>
        <v>0.32</v>
      </c>
    </row>
    <row r="21" customFormat="false" ht="21.75" hidden="false" customHeight="true" outlineLevel="0" collapsed="false">
      <c r="A21" s="14" t="s">
        <v>45</v>
      </c>
      <c r="B21" s="14"/>
      <c r="C21" s="14"/>
      <c r="D21" s="14"/>
      <c r="E21" s="14"/>
      <c r="F21" s="14"/>
      <c r="G21" s="14"/>
      <c r="H21" s="14"/>
      <c r="I21" s="14"/>
    </row>
    <row r="22" customFormat="false" ht="27.75" hidden="false" customHeight="true" outlineLevel="0" collapsed="false">
      <c r="A22" s="19" t="s">
        <v>46</v>
      </c>
      <c r="B22" s="19"/>
      <c r="C22" s="20" t="s">
        <v>47</v>
      </c>
      <c r="D22" s="20"/>
      <c r="E22" s="20"/>
      <c r="F22" s="20"/>
      <c r="G22" s="20"/>
      <c r="H22" s="20"/>
      <c r="I22" s="20"/>
    </row>
    <row r="23" customFormat="false" ht="27.75" hidden="false" customHeight="true" outlineLevel="0" collapsed="false">
      <c r="A23" s="19" t="s">
        <v>48</v>
      </c>
      <c r="B23" s="19"/>
      <c r="C23" s="20" t="s">
        <v>49</v>
      </c>
      <c r="D23" s="20"/>
      <c r="E23" s="20"/>
      <c r="F23" s="20"/>
      <c r="G23" s="20"/>
      <c r="H23" s="20"/>
      <c r="I23" s="20"/>
    </row>
    <row r="24" customFormat="false" ht="27.75" hidden="false" customHeight="true" outlineLevel="0" collapsed="false">
      <c r="A24" s="19" t="s">
        <v>50</v>
      </c>
      <c r="B24" s="19"/>
      <c r="C24" s="20" t="s">
        <v>51</v>
      </c>
      <c r="D24" s="20"/>
      <c r="E24" s="20"/>
      <c r="F24" s="20"/>
      <c r="G24" s="20"/>
      <c r="H24" s="20"/>
      <c r="I24" s="20"/>
    </row>
    <row r="25" customFormat="false" ht="27.75" hidden="false" customHeight="true" outlineLevel="0" collapsed="false">
      <c r="A25" s="19" t="s">
        <v>52</v>
      </c>
      <c r="B25" s="19"/>
      <c r="C25" s="20" t="s">
        <v>53</v>
      </c>
      <c r="D25" s="20"/>
      <c r="E25" s="20"/>
      <c r="F25" s="20"/>
      <c r="G25" s="20"/>
      <c r="H25" s="20"/>
      <c r="I25" s="20"/>
    </row>
    <row r="26" customFormat="false" ht="27.75" hidden="false" customHeight="true" outlineLevel="0" collapsed="false">
      <c r="A26" s="19" t="s">
        <v>54</v>
      </c>
      <c r="B26" s="19"/>
      <c r="C26" s="20" t="s">
        <v>55</v>
      </c>
      <c r="D26" s="20"/>
      <c r="E26" s="20"/>
      <c r="F26" s="20"/>
      <c r="G26" s="20"/>
      <c r="H26" s="20"/>
      <c r="I26" s="20"/>
    </row>
    <row r="29" customFormat="false" ht="21.75" hidden="false" customHeight="true" outlineLevel="0" collapsed="false">
      <c r="A29" s="21" t="s">
        <v>56</v>
      </c>
      <c r="B29" s="21"/>
      <c r="C29" s="21"/>
      <c r="D29" s="21"/>
      <c r="E29" s="21"/>
      <c r="F29" s="21"/>
      <c r="G29" s="21"/>
      <c r="H29" s="21"/>
      <c r="I29" s="21"/>
    </row>
    <row r="30" customFormat="false" ht="18" hidden="false" customHeight="true" outlineLevel="0" collapsed="false">
      <c r="A30" s="22" t="s">
        <v>57</v>
      </c>
      <c r="B30" s="22"/>
      <c r="C30" s="22"/>
      <c r="D30" s="22"/>
      <c r="E30" s="22"/>
      <c r="F30" s="22"/>
      <c r="G30" s="22"/>
      <c r="H30" s="22"/>
      <c r="I30" s="22"/>
    </row>
    <row r="31" customFormat="false" ht="18" hidden="false" customHeight="true" outlineLevel="0" collapsed="false">
      <c r="A31" s="22" t="s">
        <v>58</v>
      </c>
      <c r="B31" s="22"/>
      <c r="C31" s="22"/>
      <c r="D31" s="22"/>
      <c r="E31" s="22"/>
      <c r="F31" s="22"/>
      <c r="G31" s="22"/>
      <c r="H31" s="22"/>
      <c r="I31" s="22"/>
    </row>
    <row r="32" customFormat="false" ht="18" hidden="false" customHeight="true" outlineLevel="0" collapsed="false">
      <c r="A32" s="22" t="s">
        <v>59</v>
      </c>
      <c r="B32" s="22"/>
      <c r="C32" s="22"/>
      <c r="D32" s="22"/>
      <c r="E32" s="22"/>
      <c r="F32" s="22"/>
      <c r="G32" s="22"/>
      <c r="H32" s="22"/>
      <c r="I32" s="22"/>
    </row>
    <row r="33" customFormat="false" ht="18" hidden="false" customHeight="true" outlineLevel="0" collapsed="false">
      <c r="A33" s="22" t="s">
        <v>60</v>
      </c>
      <c r="B33" s="22"/>
      <c r="C33" s="22"/>
      <c r="D33" s="22"/>
      <c r="E33" s="22"/>
      <c r="F33" s="22"/>
      <c r="G33" s="22"/>
      <c r="H33" s="22"/>
      <c r="I33" s="22"/>
    </row>
    <row r="34" customFormat="false" ht="18" hidden="false" customHeight="true" outlineLevel="0" collapsed="false">
      <c r="A34" s="22" t="s">
        <v>61</v>
      </c>
      <c r="B34" s="22"/>
      <c r="C34" s="22"/>
      <c r="D34" s="22"/>
      <c r="E34" s="22"/>
      <c r="F34" s="22"/>
      <c r="G34" s="22"/>
      <c r="H34" s="22"/>
      <c r="I34" s="22"/>
    </row>
  </sheetData>
  <mergeCells count="20">
    <mergeCell ref="A1:H1"/>
    <mergeCell ref="A2:H2"/>
    <mergeCell ref="A17:I17"/>
    <mergeCell ref="A21:I21"/>
    <mergeCell ref="A22:B22"/>
    <mergeCell ref="C22:I22"/>
    <mergeCell ref="A23:B23"/>
    <mergeCell ref="C23:I23"/>
    <mergeCell ref="A24:B24"/>
    <mergeCell ref="C24:I24"/>
    <mergeCell ref="A25:B25"/>
    <mergeCell ref="C25:I25"/>
    <mergeCell ref="A26:B26"/>
    <mergeCell ref="C26:I26"/>
    <mergeCell ref="A29:I29"/>
    <mergeCell ref="A30:I30"/>
    <mergeCell ref="A31:I31"/>
    <mergeCell ref="A32:I32"/>
    <mergeCell ref="A33:I33"/>
    <mergeCell ref="A34:I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6" min="2" style="0" width="16"/>
  </cols>
  <sheetData>
    <row r="1" customFormat="false" ht="30" hidden="false" customHeight="true" outlineLevel="0" collapsed="false">
      <c r="A1" s="23" t="s">
        <v>62</v>
      </c>
      <c r="B1" s="23"/>
      <c r="C1" s="23"/>
      <c r="D1" s="23"/>
      <c r="E1" s="23"/>
      <c r="F1" s="23"/>
    </row>
    <row r="3" customFormat="false" ht="31.5" hidden="false" customHeight="true" outlineLevel="0" collapsed="false">
      <c r="A3" s="3" t="s">
        <v>3</v>
      </c>
      <c r="B3" s="3" t="s">
        <v>63</v>
      </c>
      <c r="C3" s="3" t="s">
        <v>64</v>
      </c>
      <c r="D3" s="3" t="s">
        <v>65</v>
      </c>
      <c r="E3" s="3" t="s">
        <v>66</v>
      </c>
      <c r="F3" s="3" t="s">
        <v>67</v>
      </c>
    </row>
    <row r="4" customFormat="false" ht="15" hidden="false" customHeight="false" outlineLevel="0" collapsed="false">
      <c r="A4" s="24" t="str">
        <f aca="false">Catálogo!B5</f>
        <v>Pollo Entero Fresco</v>
      </c>
      <c r="B4" s="8" t="n">
        <f aca="false">Catálogo!E5</f>
        <v>3500</v>
      </c>
      <c r="C4" s="8" t="n">
        <f aca="false">Catálogo!F5</f>
        <v>3080</v>
      </c>
      <c r="D4" s="8" t="n">
        <f aca="false">Catálogo!G5</f>
        <v>2800</v>
      </c>
      <c r="E4" s="8" t="n">
        <f aca="false">Catálogo!H5</f>
        <v>2625</v>
      </c>
      <c r="F4" s="8" t="n">
        <f aca="false">Catálogo!I5</f>
        <v>2380</v>
      </c>
    </row>
    <row r="5" customFormat="false" ht="15" hidden="false" customHeight="false" outlineLevel="0" collapsed="false">
      <c r="A5" s="25" t="str">
        <f aca="false">Catálogo!B6</f>
        <v>Pechuga sin Hueso</v>
      </c>
      <c r="B5" s="13" t="n">
        <f aca="false">Catálogo!E6</f>
        <v>5200</v>
      </c>
      <c r="C5" s="13" t="n">
        <f aca="false">Catálogo!F6</f>
        <v>4576</v>
      </c>
      <c r="D5" s="13" t="n">
        <f aca="false">Catálogo!G6</f>
        <v>4160</v>
      </c>
      <c r="E5" s="13" t="n">
        <f aca="false">Catálogo!H6</f>
        <v>3900</v>
      </c>
      <c r="F5" s="13" t="n">
        <f aca="false">Catálogo!I6</f>
        <v>3536</v>
      </c>
    </row>
    <row r="6" customFormat="false" ht="15" hidden="false" customHeight="false" outlineLevel="0" collapsed="false">
      <c r="A6" s="24" t="str">
        <f aca="false">Catálogo!B7</f>
        <v>Pechuga con Hueso</v>
      </c>
      <c r="B6" s="8" t="n">
        <f aca="false">Catálogo!E7</f>
        <v>4400</v>
      </c>
      <c r="C6" s="8" t="n">
        <f aca="false">Catálogo!F7</f>
        <v>3872</v>
      </c>
      <c r="D6" s="8" t="n">
        <f aca="false">Catálogo!G7</f>
        <v>3520</v>
      </c>
      <c r="E6" s="8" t="n">
        <f aca="false">Catálogo!H7</f>
        <v>3300</v>
      </c>
      <c r="F6" s="8" t="n">
        <f aca="false">Catálogo!I7</f>
        <v>2992</v>
      </c>
    </row>
    <row r="7" customFormat="false" ht="15" hidden="false" customHeight="false" outlineLevel="0" collapsed="false">
      <c r="A7" s="25" t="str">
        <f aca="false">Catálogo!B8</f>
        <v>Muslos</v>
      </c>
      <c r="B7" s="13" t="n">
        <f aca="false">Catálogo!E8</f>
        <v>3800</v>
      </c>
      <c r="C7" s="13" t="n">
        <f aca="false">Catálogo!F8</f>
        <v>3344</v>
      </c>
      <c r="D7" s="13" t="n">
        <f aca="false">Catálogo!G8</f>
        <v>3040</v>
      </c>
      <c r="E7" s="13" t="n">
        <f aca="false">Catálogo!H8</f>
        <v>2850</v>
      </c>
      <c r="F7" s="13" t="n">
        <f aca="false">Catálogo!I8</f>
        <v>2584</v>
      </c>
    </row>
    <row r="8" customFormat="false" ht="15" hidden="false" customHeight="false" outlineLevel="0" collapsed="false">
      <c r="A8" s="24" t="str">
        <f aca="false">Catálogo!B9</f>
        <v>Encuentros (Cuartos)</v>
      </c>
      <c r="B8" s="8" t="n">
        <f aca="false">Catálogo!E9</f>
        <v>3600</v>
      </c>
      <c r="C8" s="8" t="n">
        <f aca="false">Catálogo!F9</f>
        <v>3168</v>
      </c>
      <c r="D8" s="8" t="n">
        <f aca="false">Catálogo!G9</f>
        <v>2880</v>
      </c>
      <c r="E8" s="8" t="n">
        <f aca="false">Catálogo!H9</f>
        <v>2700</v>
      </c>
      <c r="F8" s="8" t="n">
        <f aca="false">Catálogo!I9</f>
        <v>2448</v>
      </c>
    </row>
    <row r="9" customFormat="false" ht="15" hidden="false" customHeight="false" outlineLevel="0" collapsed="false">
      <c r="A9" s="25" t="str">
        <f aca="false">Catálogo!B10</f>
        <v>Alas</v>
      </c>
      <c r="B9" s="13" t="n">
        <f aca="false">Catálogo!E10</f>
        <v>3900</v>
      </c>
      <c r="C9" s="13" t="n">
        <f aca="false">Catálogo!F10</f>
        <v>3432</v>
      </c>
      <c r="D9" s="13" t="n">
        <f aca="false">Catálogo!G10</f>
        <v>3120</v>
      </c>
      <c r="E9" s="13" t="n">
        <f aca="false">Catálogo!H10</f>
        <v>2925</v>
      </c>
      <c r="F9" s="13" t="n">
        <f aca="false">Catálogo!I10</f>
        <v>2652</v>
      </c>
    </row>
    <row r="10" customFormat="false" ht="15" hidden="false" customHeight="false" outlineLevel="0" collapsed="false">
      <c r="A10" s="24" t="str">
        <f aca="false">Catálogo!B11</f>
        <v>Mollejas</v>
      </c>
      <c r="B10" s="8" t="n">
        <f aca="false">Catálogo!E11</f>
        <v>3200</v>
      </c>
      <c r="C10" s="8" t="n">
        <f aca="false">Catálogo!F11</f>
        <v>2816</v>
      </c>
      <c r="D10" s="8" t="n">
        <f aca="false">Catálogo!G11</f>
        <v>2560</v>
      </c>
      <c r="E10" s="8" t="n">
        <f aca="false">Catálogo!H11</f>
        <v>2400</v>
      </c>
      <c r="F10" s="8" t="n">
        <f aca="false">Catálogo!I11</f>
        <v>2176</v>
      </c>
    </row>
    <row r="11" customFormat="false" ht="15" hidden="false" customHeight="false" outlineLevel="0" collapsed="false">
      <c r="A11" s="25" t="str">
        <f aca="false">Catálogo!B12</f>
        <v>Hígados de Pollo</v>
      </c>
      <c r="B11" s="13" t="n">
        <f aca="false">Catálogo!E12</f>
        <v>2400</v>
      </c>
      <c r="C11" s="13" t="n">
        <f aca="false">Catálogo!F12</f>
        <v>2112</v>
      </c>
      <c r="D11" s="13" t="n">
        <f aca="false">Catálogo!G12</f>
        <v>1920</v>
      </c>
      <c r="E11" s="13" t="n">
        <f aca="false">Catálogo!H12</f>
        <v>1800</v>
      </c>
      <c r="F11" s="13" t="n">
        <f aca="false">Catálogo!I12</f>
        <v>1632</v>
      </c>
    </row>
    <row r="12" customFormat="false" ht="15" hidden="false" customHeight="false" outlineLevel="0" collapsed="false">
      <c r="A12" s="24" t="str">
        <f aca="false">Catálogo!B13</f>
        <v>Pollo en Trozos Mixto</v>
      </c>
      <c r="B12" s="8" t="n">
        <f aca="false">Catálogo!E13</f>
        <v>3700</v>
      </c>
      <c r="C12" s="8" t="n">
        <f aca="false">Catálogo!F13</f>
        <v>3256</v>
      </c>
      <c r="D12" s="8" t="n">
        <f aca="false">Catálogo!G13</f>
        <v>2960</v>
      </c>
      <c r="E12" s="8" t="n">
        <f aca="false">Catálogo!H13</f>
        <v>2775</v>
      </c>
      <c r="F12" s="8" t="n">
        <f aca="false">Catálogo!I13</f>
        <v>2516</v>
      </c>
    </row>
    <row r="13" customFormat="false" ht="15" hidden="false" customHeight="false" outlineLevel="0" collapsed="false">
      <c r="A13" s="25" t="str">
        <f aca="false">Catálogo!B14</f>
        <v>Pollo Marinado BBQ</v>
      </c>
      <c r="B13" s="13" t="n">
        <f aca="false">Catálogo!E14</f>
        <v>4500</v>
      </c>
      <c r="C13" s="13" t="n">
        <f aca="false">Catálogo!F14</f>
        <v>3960</v>
      </c>
      <c r="D13" s="13" t="n">
        <f aca="false">Catálogo!G14</f>
        <v>3600</v>
      </c>
      <c r="E13" s="13" t="n">
        <f aca="false">Catálogo!H14</f>
        <v>3375</v>
      </c>
      <c r="F13" s="13" t="n">
        <f aca="false">Catálogo!I14</f>
        <v>3060</v>
      </c>
    </row>
    <row r="14" customFormat="false" ht="15" hidden="false" customHeight="false" outlineLevel="0" collapsed="false">
      <c r="A14" s="26" t="s">
        <v>68</v>
      </c>
      <c r="B14" s="27" t="n">
        <f aca="false">AVERAGE(B4:B13)</f>
        <v>3820</v>
      </c>
      <c r="C14" s="27" t="n">
        <f aca="false">AVERAGE(C4:C13)</f>
        <v>3361.6</v>
      </c>
      <c r="D14" s="27" t="n">
        <f aca="false">AVERAGE(D4:D13)</f>
        <v>3056</v>
      </c>
      <c r="E14" s="27" t="n">
        <f aca="false">AVERAGE(E4:E13)</f>
        <v>2865</v>
      </c>
      <c r="F14" s="27" t="n">
        <f aca="false">AVERAGE(F4:F13)</f>
        <v>2597.6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2026-04-27T14:48:52Z</dcterms:created>
  <dc:creator>openpyxl</dc:creator>
  <dc:description/>
  <dc:language>en-US</dc:language>
  <cp:lastModifiedBy/>
  <dcterms:modified xsi:type="dcterms:W3CDTF">2026-04-27T14:48:52Z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